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 bu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DE5DD"/>
      </patternFill>
    </fill>
    <fill>
      <patternFill patternType="solid">
        <fgColor rgb="00FFF4CC"/>
      </patternFill>
    </fill>
    <fill>
      <patternFill patternType="solid">
        <fgColor rgb="00E3F1E3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xongroup.com/maxon/view/product/control/4-Q-Servokontroller/422969" TargetMode="External" Id="rId1" /><Relationship Type="http://schemas.openxmlformats.org/officeDocument/2006/relationships/hyperlink" Target="https://www.maxongroup.pt/maxon/view/product/accessory/chopper/235811" TargetMode="External" Id="rId2" /><Relationship Type="http://schemas.openxmlformats.org/officeDocument/2006/relationships/hyperlink" Target="https://www.daysensor.com/dymh-103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6" customWidth="1" min="3" max="3"/>
    <col width="16" customWidth="1" min="4" max="4"/>
    <col width="13" customWidth="1" min="5" max="5"/>
    <col width="46" customWidth="1" min="6" max="6"/>
    <col width="60" customWidth="1" min="7" max="7"/>
    <col width="16" customWidth="1" min="8" max="8"/>
  </cols>
  <sheetData>
    <row r="1">
      <c r="A1" s="1" t="inlineStr">
        <is>
          <t>Bump'em: parts to buy (broken tower)</t>
        </is>
      </c>
    </row>
    <row r="2">
      <c r="A2" t="inlineStr">
        <is>
          <t>Prices looked up 2026-10-05 (web search); check before ordering. 'estimate' = price range, not a shop price.</t>
        </is>
      </c>
    </row>
    <row r="3"/>
    <row r="4">
      <c r="A4" s="2" t="inlineStr">
        <is>
          <t>Item</t>
        </is>
      </c>
      <c r="B4" s="2" t="inlineStr">
        <is>
          <t>Exact model / order no.</t>
        </is>
      </c>
      <c r="C4" s="2" t="inlineStr">
        <is>
          <t>Qty</t>
        </is>
      </c>
      <c r="D4" s="2" t="inlineStr">
        <is>
          <t>Unit price (EUR)</t>
        </is>
      </c>
      <c r="E4" s="2" t="inlineStr">
        <is>
          <t>Price status</t>
        </is>
      </c>
      <c r="F4" s="2" t="inlineStr">
        <is>
          <t>Price note (shop, VAT)</t>
        </is>
      </c>
      <c r="G4" s="2" t="inlineStr">
        <is>
          <t>Buy / info link</t>
        </is>
      </c>
      <c r="H4" s="2" t="inlineStr">
        <is>
          <t>Line total (EUR)</t>
        </is>
      </c>
    </row>
    <row r="5">
      <c r="A5" t="inlineStr">
        <is>
          <t>Motor driver</t>
        </is>
      </c>
      <c r="B5" t="inlineStr">
        <is>
          <t>maxon ESCON 70/10, order no. 422969</t>
        </is>
      </c>
      <c r="C5" s="3" t="n">
        <v>1</v>
      </c>
      <c r="D5" s="4" t="n">
        <v>417.67</v>
      </c>
      <c r="E5" s="5" t="inlineStr">
        <is>
          <t>found</t>
        </is>
      </c>
      <c r="F5" t="inlineStr">
        <is>
          <t>maxon online shop, excl. VAT</t>
        </is>
      </c>
      <c r="G5" s="6" t="inlineStr">
        <is>
          <t>https://www.maxongroup.com/maxon/view/product/control/4-Q-Servokontroller/422969</t>
        </is>
      </c>
      <c r="H5" s="4">
        <f>C5*D5</f>
        <v/>
      </c>
    </row>
    <row r="6">
      <c r="A6" t="inlineStr">
        <is>
          <t>Brake chopper (shunt regulator)</t>
        </is>
      </c>
      <c r="B6" t="inlineStr">
        <is>
          <t>maxon DSR 70/30, order no. 235811</t>
        </is>
      </c>
      <c r="C6" s="3" t="n">
        <v>1</v>
      </c>
      <c r="D6" s="4" t="n">
        <v>372.94</v>
      </c>
      <c r="E6" s="5" t="inlineStr">
        <is>
          <t>found</t>
        </is>
      </c>
      <c r="F6" t="inlineStr">
        <is>
          <t>maxon online shop, excl. VAT</t>
        </is>
      </c>
      <c r="G6" s="6" t="inlineStr">
        <is>
          <t>https://www.maxongroup.pt/maxon/view/product/accessory/chopper/235811</t>
        </is>
      </c>
      <c r="H6" s="4">
        <f>C6*D6</f>
        <v/>
      </c>
    </row>
    <row r="7">
      <c r="A7" t="inlineStr">
        <is>
          <t>Force sensor (load cell)</t>
        </is>
      </c>
      <c r="B7" t="inlineStr">
        <is>
          <t>DYMH-103, 100 kg (same capacity as the other modules)</t>
        </is>
      </c>
      <c r="C7" s="3" t="n">
        <v>1</v>
      </c>
      <c r="D7" s="4" t="n">
        <v>100</v>
      </c>
      <c r="E7" s="3" t="inlineStr">
        <is>
          <t>estimate</t>
        </is>
      </c>
      <c r="F7" t="inlineStr">
        <is>
          <t>ONLY if the found 200 kg cell fails the calibration check. USD 60-130 (AliExpress / eBay)</t>
        </is>
      </c>
      <c r="G7" s="6" t="inlineStr">
        <is>
          <t>https://www.daysensor.com/dymh-103/</t>
        </is>
      </c>
      <c r="H7" s="4">
        <f>C7*D7</f>
        <v/>
      </c>
    </row>
    <row r="8"/>
    <row r="9">
      <c r="G9" s="7" t="inlineStr">
        <is>
          <t>TOTAL</t>
        </is>
      </c>
      <c r="H9" s="8">
        <f>SUM(H5:H7)</f>
        <v/>
      </c>
    </row>
    <row r="10">
      <c r="G10" t="inlineStr">
        <is>
          <t>Note: maxon prices are excl. VAT; check VAT basis of the others</t>
        </is>
      </c>
    </row>
    <row r="11"/>
    <row r="12">
      <c r="A12" t="inlineStr">
        <is>
          <t>ESCON: needed. Front tower's ESCON has a faulty control side (USB + enable dead, power stage OK; docs/tests/broken-tower-diagnosis.md, 2026-10-07). Order from Germany: maxon shop (link) or Farnell DE 2452179 (de.farnell.com); maxon Germany: info.de@maxongroup.com, +49 89 420 493-0. IAA100 not needed: 4th amplifier found 2026-10-05 (paired with a 200 kg, 1.0 mV/V DYMH-103).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2026-10-05T12:37:20Z</dcterms:created>
  <dcterms:modified xsi:type="dcterms:W3CDTF">2026-10-07T10:00:00Z</dcterms:modified>
</cp:coreProperties>
</file>