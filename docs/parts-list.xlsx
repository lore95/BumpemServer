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DDE5DD"/>
      </patternFill>
    </fill>
    <fill>
      <patternFill patternType="solid">
        <fgColor rgb="00E3F1E3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1" pivotButton="0" quotePrefix="0" xfId="0"/>
    <xf numFmtId="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xongroup.com/maxon/view/product/control/4-Q-Servokontroller/422969" TargetMode="External" Id="rId1" /><Relationship Type="http://schemas.openxmlformats.org/officeDocument/2006/relationships/hyperlink" Target="https://www.maxongroup.pt/maxon/view/product/accessory/chopper/235811" TargetMode="External" Id="rId2" /><Relationship Type="http://schemas.openxmlformats.org/officeDocument/2006/relationships/hyperlink" Target="https://www.daysensor.com/dymh-103/" TargetMode="External" Id="rId3" /><Relationship Type="http://schemas.openxmlformats.org/officeDocument/2006/relationships/hyperlink" Target="https://shop.elkome.com/en/iaa100-fsh03863-load-cell-amplifier" TargetMode="External" Id="rId4" /><Relationship Type="http://schemas.openxmlformats.org/officeDocument/2006/relationships/hyperlink" Target="https://biomechatronics.stanford.edu/bump-em" TargetMode="External" Id="rId5" /><Relationship Type="http://schemas.openxmlformats.org/officeDocument/2006/relationships/hyperlink" Target="https://biomechatronics.stanford.edu/bump-em" TargetMode="External" Id="rId6" /><Relationship Type="http://schemas.openxmlformats.org/officeDocument/2006/relationships/hyperlink" Target="https://biomechatronics.stanford.edu/bump-em" TargetMode="External" Id="rId7" /><Relationship Type="http://schemas.openxmlformats.org/officeDocument/2006/relationships/hyperlink" Target="https://biomechatronics.stanford.edu/bump-em" TargetMode="External" Id="rId8" /><Relationship Type="http://schemas.openxmlformats.org/officeDocument/2006/relationships/hyperlink" Target="https://biomechatronics.stanford.edu/bump-em" TargetMode="External" Id="rId9" /><Relationship Type="http://schemas.openxmlformats.org/officeDocument/2006/relationships/hyperlink" Target="https://biomechatronics.stanford.edu/bump-em" TargetMode="External" Id="rId10" /><Relationship Type="http://schemas.openxmlformats.org/officeDocument/2006/relationships/hyperlink" Target="https://biomechatronics.stanford.edu/bump-em" TargetMode="External" Id="rId11" /><Relationship Type="http://schemas.openxmlformats.org/officeDocument/2006/relationships/hyperlink" Target="https://www.antratek.de/teensy-4-1" TargetMode="External" Id="rId12" /><Relationship Type="http://schemas.openxmlformats.org/officeDocument/2006/relationships/hyperlink" Target="https://opencircuit.shop/product/adafruit-mcp4728-quad-dac-with-eeprom" TargetMode="External" Id="rId13" /><Relationship Type="http://schemas.openxmlformats.org/officeDocument/2006/relationships/hyperlink" Target="https://www.phoenixcontact.com/en-us/products/pcb-plug-mstb-25-5-stf-508-1778014" TargetMode="External" Id="rId14" /><Relationship Type="http://schemas.openxmlformats.org/officeDocument/2006/relationships/hyperlink" Target="https://www.phoenixcontact.com/en-us/products/coding-element-cp-mstb-1734634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4" customWidth="1" min="3" max="3"/>
    <col width="6" customWidth="1" min="4" max="4"/>
    <col width="8" customWidth="1" min="5" max="5"/>
    <col width="15" customWidth="1" min="6" max="6"/>
    <col width="13" customWidth="1" min="7" max="7"/>
    <col width="44" customWidth="1" min="8" max="8"/>
    <col width="52" customWidth="1" min="9" max="9"/>
    <col width="16" customWidth="1" min="10" max="10"/>
  </cols>
  <sheetData>
    <row r="1">
      <c r="A1" s="1" t="inlineStr">
        <is>
          <t>Bump'em parts list (everything except motor, encoder, 48 V and 24 V supplies)</t>
        </is>
      </c>
    </row>
    <row r="2">
      <c r="A2" t="inlineStr">
        <is>
          <t>Prices looked up 2026-10-05 (web search); check before ordering. Price status: found = shop price, estimate = range given, to check = no price yet (counted as 0).</t>
        </is>
      </c>
    </row>
    <row r="3">
      <c r="A3" s="2" t="inlineStr">
        <is>
          <t>Number of towers (modules):</t>
        </is>
      </c>
      <c r="C3" s="3" t="n">
        <v>1</v>
      </c>
      <c r="D3" t="inlineStr">
        <is>
          <t>&lt;- change this; 'tower' lines are multiplied by it</t>
        </is>
      </c>
    </row>
    <row r="5">
      <c r="A5" s="4" t="inlineStr">
        <is>
          <t>Group</t>
        </is>
      </c>
      <c r="B5" s="4" t="inlineStr">
        <is>
          <t>Item</t>
        </is>
      </c>
      <c r="C5" s="4" t="inlineStr">
        <is>
          <t>Exact model / part no.</t>
        </is>
      </c>
      <c r="D5" s="4" t="inlineStr">
        <is>
          <t>Qty</t>
        </is>
      </c>
      <c r="E5" s="4" t="inlineStr">
        <is>
          <t>Per</t>
        </is>
      </c>
      <c r="F5" s="4" t="inlineStr">
        <is>
          <t>Unit price (EUR)</t>
        </is>
      </c>
      <c r="G5" s="4" t="inlineStr">
        <is>
          <t>Price status</t>
        </is>
      </c>
      <c r="H5" s="4" t="inlineStr">
        <is>
          <t>Price note (shop, VAT)</t>
        </is>
      </c>
      <c r="I5" s="4" t="inlineStr">
        <is>
          <t>Buy / info link</t>
        </is>
      </c>
      <c r="J5" s="4" t="inlineStr">
        <is>
          <t>Line total (EUR)</t>
        </is>
      </c>
    </row>
    <row r="6">
      <c r="A6" t="inlineStr">
        <is>
          <t>Drive electronics</t>
        </is>
      </c>
      <c r="B6" t="inlineStr">
        <is>
          <t>Motor driver</t>
        </is>
      </c>
      <c r="C6" t="inlineStr">
        <is>
          <t>maxon ESCON 70/10, 422969</t>
        </is>
      </c>
      <c r="D6" t="n">
        <v>1</v>
      </c>
      <c r="E6" t="inlineStr">
        <is>
          <t>tower</t>
        </is>
      </c>
      <c r="F6" s="5" t="n">
        <v>417.67</v>
      </c>
      <c r="G6" s="6" t="inlineStr">
        <is>
          <t>found</t>
        </is>
      </c>
      <c r="H6" t="inlineStr">
        <is>
          <t>maxon online shop, excl. VAT, qty 1-4</t>
        </is>
      </c>
      <c r="I6" s="7" t="inlineStr">
        <is>
          <t>https://www.maxongroup.com/maxon/view/product/control/4-Q-Servokontroller/422969</t>
        </is>
      </c>
      <c r="J6" s="5">
        <f>IF(F6="","",D6*F6*IF(E6="tower",$C$3,1))</f>
        <v/>
      </c>
    </row>
    <row r="7">
      <c r="A7" t="inlineStr">
        <is>
          <t>Drive electronics</t>
        </is>
      </c>
      <c r="B7" t="inlineStr">
        <is>
          <t>Brake chopper (shunt regulator)</t>
        </is>
      </c>
      <c r="C7" t="inlineStr">
        <is>
          <t>maxon DSR 70/30, 235811</t>
        </is>
      </c>
      <c r="D7" t="n">
        <v>1</v>
      </c>
      <c r="E7" t="inlineStr">
        <is>
          <t>tower</t>
        </is>
      </c>
      <c r="F7" s="5" t="n">
        <v>372.94</v>
      </c>
      <c r="G7" s="6" t="inlineStr">
        <is>
          <t>found</t>
        </is>
      </c>
      <c r="H7" t="inlineStr">
        <is>
          <t>maxon online shop, excl. VAT</t>
        </is>
      </c>
      <c r="I7" s="7" t="inlineStr">
        <is>
          <t>https://www.maxongroup.pt/maxon/view/product/accessory/chopper/235811</t>
        </is>
      </c>
      <c r="J7" s="5">
        <f>IF(F7="","",D7*F7*IF(E7="tower",$C$3,1))</f>
        <v/>
      </c>
    </row>
    <row r="8">
      <c r="A8" t="inlineStr">
        <is>
          <t>Drive electronics</t>
        </is>
      </c>
      <c r="B8" t="inlineStr">
        <is>
          <t>AC power cord for the 48 V supply</t>
        </is>
      </c>
      <c r="C8" t="inlineStr">
        <is>
          <t>fitted by the electrician</t>
        </is>
      </c>
      <c r="D8" t="n">
        <v>1</v>
      </c>
      <c r="E8" t="inlineStr">
        <is>
          <t>tower</t>
        </is>
      </c>
      <c r="F8" s="5" t="n"/>
      <c r="G8" s="8" t="inlineStr">
        <is>
          <t>to check</t>
        </is>
      </c>
      <c r="H8" t="inlineStr"/>
      <c r="I8" t="inlineStr"/>
      <c r="J8" s="5">
        <f>IF(F8="","",D8*F8*IF(E8="tower",$C$3,1))</f>
        <v/>
      </c>
    </row>
    <row r="9">
      <c r="A9" t="inlineStr">
        <is>
          <t>Drive electronics</t>
        </is>
      </c>
      <c r="B9" t="inlineStr">
        <is>
          <t>E-stop connector for CN501</t>
        </is>
      </c>
      <c r="C9" t="inlineStr">
        <is>
          <t>Hirose DF11-12DS housing + DF11 crimp terminals</t>
        </is>
      </c>
      <c r="D9" t="n">
        <v>1</v>
      </c>
      <c r="E9" t="inlineStr">
        <is>
          <t>tower</t>
        </is>
      </c>
      <c r="F9" s="5" t="n"/>
      <c r="G9" s="8" t="inlineStr">
        <is>
          <t>to check</t>
        </is>
      </c>
      <c r="H9" t="inlineStr"/>
      <c r="I9" t="inlineStr"/>
      <c r="J9" s="5">
        <f>IF(F9="","",D9*F9*IF(E9="tower",$C$3,1))</f>
        <v/>
      </c>
    </row>
    <row r="10">
      <c r="A10" t="inlineStr">
        <is>
          <t>Drive electronics</t>
        </is>
      </c>
      <c r="B10" t="inlineStr">
        <is>
          <t>Ring terminals (supply +V / -V / earth)</t>
        </is>
      </c>
      <c r="C10" t="inlineStr">
        <is>
          <t>for 14 AWG</t>
        </is>
      </c>
      <c r="D10" t="n">
        <v>3</v>
      </c>
      <c r="E10" t="inlineStr">
        <is>
          <t>tower</t>
        </is>
      </c>
      <c r="F10" s="5" t="n"/>
      <c r="G10" s="8" t="inlineStr">
        <is>
          <t>to check</t>
        </is>
      </c>
      <c r="H10" t="inlineStr"/>
      <c r="I10" t="inlineStr"/>
      <c r="J10" s="5">
        <f>IF(F10="","",D10*F10*IF(E10="tower",$C$3,1))</f>
        <v/>
      </c>
    </row>
    <row r="11">
      <c r="A11" t="inlineStr">
        <is>
          <t>Drive electronics</t>
        </is>
      </c>
      <c r="B11" t="inlineStr">
        <is>
          <t>Power cable chopper -&gt; ESCON J1 (m)</t>
        </is>
      </c>
      <c r="C11" t="inlineStr">
        <is>
          <t>14 AWG, 2-wire</t>
        </is>
      </c>
      <c r="D11" t="n">
        <v>1</v>
      </c>
      <c r="E11" t="inlineStr">
        <is>
          <t>tower</t>
        </is>
      </c>
      <c r="F11" s="5" t="n"/>
      <c r="G11" s="8" t="inlineStr">
        <is>
          <t>to check</t>
        </is>
      </c>
      <c r="H11" t="inlineStr"/>
      <c r="I11" t="inlineStr"/>
      <c r="J11" s="5">
        <f>IF(F11="","",D11*F11*IF(E11="tower",$C$3,1))</f>
        <v/>
      </c>
    </row>
    <row r="12">
      <c r="A12" t="inlineStr">
        <is>
          <t>Force sensing</t>
        </is>
      </c>
      <c r="B12" t="inlineStr">
        <is>
          <t>Load cell</t>
        </is>
      </c>
      <c r="C12" t="inlineStr">
        <is>
          <t>DYMH-103, 100 kg</t>
        </is>
      </c>
      <c r="D12" t="n">
        <v>1</v>
      </c>
      <c r="E12" t="inlineStr">
        <is>
          <t>tower</t>
        </is>
      </c>
      <c r="F12" s="5" t="n">
        <v>100</v>
      </c>
      <c r="G12" s="9" t="inlineStr">
        <is>
          <t>estimate</t>
        </is>
      </c>
      <c r="H12" t="inlineStr">
        <is>
          <t>USD 60-130 (AliExpress / eBay), no EUR price found</t>
        </is>
      </c>
      <c r="I12" s="7" t="inlineStr">
        <is>
          <t>https://www.daysensor.com/dymh-103/</t>
        </is>
      </c>
      <c r="J12" s="5">
        <f>IF(F12="","",D12*F12*IF(E12="tower",$C$3,1))</f>
        <v/>
      </c>
    </row>
    <row r="13">
      <c r="A13" t="inlineStr">
        <is>
          <t>Force sensing</t>
        </is>
      </c>
      <c r="B13" t="inlineStr">
        <is>
          <t>Load-cell amplifier</t>
        </is>
      </c>
      <c r="C13" t="inlineStr">
        <is>
          <t>Futek IAA100 (FSH03863)</t>
        </is>
      </c>
      <c r="D13" t="n">
        <v>1</v>
      </c>
      <c r="E13" t="inlineStr">
        <is>
          <t>tower</t>
        </is>
      </c>
      <c r="F13" s="5" t="n">
        <v>871</v>
      </c>
      <c r="G13" s="6" t="inlineStr">
        <is>
          <t>found</t>
        </is>
      </c>
      <c r="H13" t="inlineStr">
        <is>
          <t>Elkome (EU)</t>
        </is>
      </c>
      <c r="I13" s="7" t="inlineStr">
        <is>
          <t>https://shop.elkome.com/en/iaa100-fsh03863-load-cell-amplifier</t>
        </is>
      </c>
      <c r="J13" s="5">
        <f>IF(F13="","",D13*F13*IF(E13="tower",$C$3,1))</f>
        <v/>
      </c>
    </row>
    <row r="14">
      <c r="A14" t="inlineStr">
        <is>
          <t>Force sensing</t>
        </is>
      </c>
      <c r="B14" t="inlineStr">
        <is>
          <t>Ground distributor</t>
        </is>
      </c>
      <c r="C14" t="inlineStr">
        <is>
          <t>small screw terminal strip</t>
        </is>
      </c>
      <c r="D14" t="n">
        <v>1</v>
      </c>
      <c r="E14" t="inlineStr">
        <is>
          <t>tower</t>
        </is>
      </c>
      <c r="F14" s="5" t="n"/>
      <c r="G14" s="8" t="inlineStr">
        <is>
          <t>to check</t>
        </is>
      </c>
      <c r="H14" t="inlineStr"/>
      <c r="I14" t="inlineStr"/>
      <c r="J14" s="5">
        <f>IF(F14="","",D14*F14*IF(E14="tower",$C$3,1))</f>
        <v/>
      </c>
    </row>
    <row r="15">
      <c r="A15" t="inlineStr">
        <is>
          <t>Force sensing</t>
        </is>
      </c>
      <c r="B15" t="inlineStr">
        <is>
          <t>Signal cable to the control board (m)</t>
        </is>
      </c>
      <c r="C15" t="inlineStr">
        <is>
          <t>multi-core, 7 wires</t>
        </is>
      </c>
      <c r="D15" t="n">
        <v>3</v>
      </c>
      <c r="E15" t="inlineStr">
        <is>
          <t>tower</t>
        </is>
      </c>
      <c r="F15" s="5" t="n"/>
      <c r="G15" s="8" t="inlineStr">
        <is>
          <t>to check</t>
        </is>
      </c>
      <c r="H15" t="inlineStr"/>
      <c r="I15" t="inlineStr"/>
      <c r="J15" s="5">
        <f>IF(F15="","",D15*F15*IF(E15="tower",$C$3,1))</f>
        <v/>
      </c>
    </row>
    <row r="16">
      <c r="A16" t="inlineStr">
        <is>
          <t>Mechanics (Stanford guide p. 11-13)</t>
        </is>
      </c>
      <c r="B16" t="inlineStr">
        <is>
          <t>3D-printed motor mount, reel drum, drum cover</t>
        </is>
      </c>
      <c r="C16" t="inlineStr">
        <is>
          <t>PLA; drum 8 shells, &gt;= 70 % infill</t>
        </is>
      </c>
      <c r="D16" t="n">
        <v>1</v>
      </c>
      <c r="E16" t="inlineStr">
        <is>
          <t>tower</t>
        </is>
      </c>
      <c r="F16" s="5" t="n"/>
      <c r="G16" s="8" t="inlineStr">
        <is>
          <t>to check</t>
        </is>
      </c>
      <c r="H16" t="inlineStr">
        <is>
          <t>printed in-house (filament below)</t>
        </is>
      </c>
      <c r="I16" t="inlineStr"/>
      <c r="J16" s="5">
        <f>IF(F16="","",D16*F16*IF(E16="tower",$C$3,1))</f>
        <v/>
      </c>
    </row>
    <row r="17">
      <c r="A17" t="inlineStr">
        <is>
          <t>Mechanics (Stanford guide p. 11-13)</t>
        </is>
      </c>
      <c r="B17" t="inlineStr">
        <is>
          <t>Socket bolts #6-32 x 1/2 in</t>
        </is>
      </c>
      <c r="C17" t="inlineStr"/>
      <c r="D17" t="n">
        <v>3</v>
      </c>
      <c r="E17" t="inlineStr">
        <is>
          <t>tower</t>
        </is>
      </c>
      <c r="F17" s="5" t="n"/>
      <c r="G17" s="8" t="inlineStr">
        <is>
          <t>to check</t>
        </is>
      </c>
      <c r="H17" t="inlineStr">
        <is>
          <t>see Stanford BOM</t>
        </is>
      </c>
      <c r="I17" s="7" t="inlineStr">
        <is>
          <t>https://biomechatronics.stanford.edu/bump-em</t>
        </is>
      </c>
      <c r="J17" s="5">
        <f>IF(F17="","",D17*F17*IF(E17="tower",$C$3,1))</f>
        <v/>
      </c>
    </row>
    <row r="18">
      <c r="A18" t="inlineStr">
        <is>
          <t>Mechanics (Stanford guide p. 11-13)</t>
        </is>
      </c>
      <c r="B18" t="inlineStr">
        <is>
          <t>Washers #6</t>
        </is>
      </c>
      <c r="C18" t="inlineStr"/>
      <c r="D18" t="n">
        <v>3</v>
      </c>
      <c r="E18" t="inlineStr">
        <is>
          <t>tower</t>
        </is>
      </c>
      <c r="F18" s="5" t="n"/>
      <c r="G18" s="8" t="inlineStr">
        <is>
          <t>to check</t>
        </is>
      </c>
      <c r="H18" t="inlineStr">
        <is>
          <t>see Stanford BOM</t>
        </is>
      </c>
      <c r="I18" s="7" t="inlineStr">
        <is>
          <t>https://biomechatronics.stanford.edu/bump-em</t>
        </is>
      </c>
      <c r="J18" s="5">
        <f>IF(F18="","",D18*F18*IF(E18="tower",$C$3,1))</f>
        <v/>
      </c>
    </row>
    <row r="19">
      <c r="A19" t="inlineStr">
        <is>
          <t>Mechanics (Stanford guide p. 11-13)</t>
        </is>
      </c>
      <c r="B19" t="inlineStr">
        <is>
          <t>Flanged shaft collar</t>
        </is>
      </c>
      <c r="C19" t="inlineStr"/>
      <c r="D19" t="n">
        <v>1</v>
      </c>
      <c r="E19" t="inlineStr">
        <is>
          <t>tower</t>
        </is>
      </c>
      <c r="F19" s="5" t="n"/>
      <c r="G19" s="8" t="inlineStr">
        <is>
          <t>to check</t>
        </is>
      </c>
      <c r="H19" t="inlineStr">
        <is>
          <t>see Stanford BOM</t>
        </is>
      </c>
      <c r="I19" s="7" t="inlineStr">
        <is>
          <t>https://biomechatronics.stanford.edu/bump-em</t>
        </is>
      </c>
      <c r="J19" s="5">
        <f>IF(F19="","",D19*F19*IF(E19="tower",$C$3,1))</f>
        <v/>
      </c>
    </row>
    <row r="20">
      <c r="A20" t="inlineStr">
        <is>
          <t>Mechanics (Stanford guide p. 11-13)</t>
        </is>
      </c>
      <c r="B20" t="inlineStr">
        <is>
          <t>Socket bolts M5 x 12 mm</t>
        </is>
      </c>
      <c r="C20" t="inlineStr"/>
      <c r="D20" t="n">
        <v>3</v>
      </c>
      <c r="E20" t="inlineStr">
        <is>
          <t>tower</t>
        </is>
      </c>
      <c r="F20" s="5" t="n"/>
      <c r="G20" s="8" t="inlineStr">
        <is>
          <t>to check</t>
        </is>
      </c>
      <c r="H20" t="inlineStr"/>
      <c r="I20" t="inlineStr"/>
      <c r="J20" s="5">
        <f>IF(F20="","",D20*F20*IF(E20="tower",$C$3,1))</f>
        <v/>
      </c>
    </row>
    <row r="21">
      <c r="A21" t="inlineStr">
        <is>
          <t>Mechanics (Stanford guide p. 11-13)</t>
        </is>
      </c>
      <c r="B21" t="inlineStr">
        <is>
          <t>Washers M5</t>
        </is>
      </c>
      <c r="C21" t="inlineStr"/>
      <c r="D21" t="n">
        <v>9</v>
      </c>
      <c r="E21" t="inlineStr">
        <is>
          <t>tower</t>
        </is>
      </c>
      <c r="F21" s="5" t="n"/>
      <c r="G21" s="8" t="inlineStr">
        <is>
          <t>to check</t>
        </is>
      </c>
      <c r="H21" t="inlineStr"/>
      <c r="I21" t="inlineStr"/>
      <c r="J21" s="5">
        <f>IF(F21="","",D21*F21*IF(E21="tower",$C$3,1))</f>
        <v/>
      </c>
    </row>
    <row r="22">
      <c r="A22" t="inlineStr">
        <is>
          <t>Mechanics (Stanford guide p. 11-13)</t>
        </is>
      </c>
      <c r="B22" t="inlineStr">
        <is>
          <t>Spider shaft coupler set</t>
        </is>
      </c>
      <c r="C22" t="inlineStr">
        <is>
          <t>10 mm hub + 3/8 in hub + spider</t>
        </is>
      </c>
      <c r="D22" t="n">
        <v>1</v>
      </c>
      <c r="E22" t="inlineStr">
        <is>
          <t>tower</t>
        </is>
      </c>
      <c r="F22" s="5" t="n"/>
      <c r="G22" s="8" t="inlineStr">
        <is>
          <t>to check</t>
        </is>
      </c>
      <c r="H22" t="inlineStr">
        <is>
          <t>see Stanford BOM</t>
        </is>
      </c>
      <c r="I22" s="7" t="inlineStr">
        <is>
          <t>https://biomechatronics.stanford.edu/bump-em</t>
        </is>
      </c>
      <c r="J22" s="5">
        <f>IF(F22="","",D22*F22*IF(E22="tower",$C$3,1))</f>
        <v/>
      </c>
    </row>
    <row r="23">
      <c r="A23" t="inlineStr">
        <is>
          <t>Mechanics (Stanford guide p. 11-13)</t>
        </is>
      </c>
      <c r="B23" t="inlineStr">
        <is>
          <t>Flanged bearings</t>
        </is>
      </c>
      <c r="C23" t="inlineStr"/>
      <c r="D23" t="n">
        <v>2</v>
      </c>
      <c r="E23" t="inlineStr">
        <is>
          <t>tower</t>
        </is>
      </c>
      <c r="F23" s="5" t="n"/>
      <c r="G23" s="8" t="inlineStr">
        <is>
          <t>to check</t>
        </is>
      </c>
      <c r="H23" t="inlineStr">
        <is>
          <t>see Stanford BOM</t>
        </is>
      </c>
      <c r="I23" s="7" t="inlineStr">
        <is>
          <t>https://biomechatronics.stanford.edu/bump-em</t>
        </is>
      </c>
      <c r="J23" s="5">
        <f>IF(F23="","",D23*F23*IF(E23="tower",$C$3,1))</f>
        <v/>
      </c>
    </row>
    <row r="24">
      <c r="A24" t="inlineStr">
        <is>
          <t>Mechanics (Stanford guide p. 11-13)</t>
        </is>
      </c>
      <c r="B24" t="inlineStr">
        <is>
          <t>Linear shaft 3/8 in x 3 in</t>
        </is>
      </c>
      <c r="C24" t="inlineStr"/>
      <c r="D24" t="n">
        <v>1</v>
      </c>
      <c r="E24" t="inlineStr">
        <is>
          <t>tower</t>
        </is>
      </c>
      <c r="F24" s="5" t="n"/>
      <c r="G24" s="8" t="inlineStr">
        <is>
          <t>to check</t>
        </is>
      </c>
      <c r="H24" t="inlineStr">
        <is>
          <t>see Stanford BOM</t>
        </is>
      </c>
      <c r="I24" s="7" t="inlineStr">
        <is>
          <t>https://biomechatronics.stanford.edu/bump-em</t>
        </is>
      </c>
      <c r="J24" s="5">
        <f>IF(F24="","",D24*F24*IF(E24="tower",$C$3,1))</f>
        <v/>
      </c>
    </row>
    <row r="25">
      <c r="A25" t="inlineStr">
        <is>
          <t>Mechanics (Stanford guide p. 11-13)</t>
        </is>
      </c>
      <c r="B25" t="inlineStr">
        <is>
          <t>Eyebolt + 1/4 in-20 nut</t>
        </is>
      </c>
      <c r="C25" t="inlineStr"/>
      <c r="D25" t="n">
        <v>1</v>
      </c>
      <c r="E25" t="inlineStr">
        <is>
          <t>tower</t>
        </is>
      </c>
      <c r="F25" s="5" t="n"/>
      <c r="G25" s="8" t="inlineStr">
        <is>
          <t>to check</t>
        </is>
      </c>
      <c r="H25" t="inlineStr">
        <is>
          <t>see Stanford BOM</t>
        </is>
      </c>
      <c r="I25" s="7" t="inlineStr">
        <is>
          <t>https://biomechatronics.stanford.edu/bump-em</t>
        </is>
      </c>
      <c r="J25" s="5">
        <f>IF(F25="","",D25*F25*IF(E25="tower",$C$3,1))</f>
        <v/>
      </c>
    </row>
    <row r="26">
      <c r="A26" t="inlineStr">
        <is>
          <t>Mechanics (Stanford guide p. 11-13)</t>
        </is>
      </c>
      <c r="B26" t="inlineStr">
        <is>
          <t>Rope (m)</t>
        </is>
      </c>
      <c r="C26" t="inlineStr">
        <is>
          <t>braided Kevlar or Dyneema, &gt;= ~2 kN, diameter to match eyebolt</t>
        </is>
      </c>
      <c r="D26" t="n">
        <v>4</v>
      </c>
      <c r="E26" t="inlineStr">
        <is>
          <t>tower</t>
        </is>
      </c>
      <c r="F26" s="5" t="n"/>
      <c r="G26" s="8" t="inlineStr">
        <is>
          <t>to check</t>
        </is>
      </c>
      <c r="H26" t="inlineStr"/>
      <c r="I26" t="inlineStr"/>
      <c r="J26" s="5">
        <f>IF(F26="","",D26*F26*IF(E26="tower",$C$3,1))</f>
        <v/>
      </c>
    </row>
    <row r="27">
      <c r="A27" t="inlineStr">
        <is>
          <t>Control (once)</t>
        </is>
      </c>
      <c r="B27" t="inlineStr">
        <is>
          <t>Microcontroller</t>
        </is>
      </c>
      <c r="C27" t="inlineStr">
        <is>
          <t>Teensy 4.1</t>
        </is>
      </c>
      <c r="D27" t="n">
        <v>1</v>
      </c>
      <c r="E27" t="inlineStr">
        <is>
          <t>system</t>
        </is>
      </c>
      <c r="F27" s="5" t="n">
        <v>37.49</v>
      </c>
      <c r="G27" s="6" t="inlineStr">
        <is>
          <t>found</t>
        </is>
      </c>
      <c r="H27" t="inlineStr">
        <is>
          <t>Antratek, incl. VAT</t>
        </is>
      </c>
      <c r="I27" s="7" t="inlineStr">
        <is>
          <t>https://www.antratek.de/teensy-4-1</t>
        </is>
      </c>
      <c r="J27" s="5">
        <f>IF(F27="","",D27*F27*IF(E27="tower",$C$3,1))</f>
        <v/>
      </c>
    </row>
    <row r="28">
      <c r="A28" t="inlineStr">
        <is>
          <t>Control (once)</t>
        </is>
      </c>
      <c r="B28" t="inlineStr">
        <is>
          <t>Pin headers for the Teensy</t>
        </is>
      </c>
      <c r="C28" t="inlineStr">
        <is>
          <t>2.54 mm male, 2 x 24</t>
        </is>
      </c>
      <c r="D28" t="n">
        <v>1</v>
      </c>
      <c r="E28" t="inlineStr">
        <is>
          <t>system</t>
        </is>
      </c>
      <c r="F28" s="5" t="n"/>
      <c r="G28" s="8" t="inlineStr">
        <is>
          <t>to check</t>
        </is>
      </c>
      <c r="H28" t="inlineStr"/>
      <c r="I28" t="inlineStr"/>
      <c r="J28" s="5">
        <f>IF(F28="","",D28*F28*IF(E28="tower",$C$3,1))</f>
        <v/>
      </c>
    </row>
    <row r="29">
      <c r="A29" t="inlineStr">
        <is>
          <t>Control (once)</t>
        </is>
      </c>
      <c r="B29" t="inlineStr">
        <is>
          <t>DAC</t>
        </is>
      </c>
      <c r="C29" t="inlineStr">
        <is>
          <t>Adafruit MCP4728 (product 4470)</t>
        </is>
      </c>
      <c r="D29" t="n">
        <v>1</v>
      </c>
      <c r="E29" t="inlineStr">
        <is>
          <t>system</t>
        </is>
      </c>
      <c r="F29" s="5" t="n">
        <v>13</v>
      </c>
      <c r="G29" s="6" t="inlineStr">
        <is>
          <t>found</t>
        </is>
      </c>
      <c r="H29" t="inlineStr">
        <is>
          <t>Opencircuit</t>
        </is>
      </c>
      <c r="I29" s="7" t="inlineStr">
        <is>
          <t>https://opencircuit.shop/product/adafruit-mcp4728-quad-dac-with-eeprom</t>
        </is>
      </c>
      <c r="J29" s="5">
        <f>IF(F29="","",D29*F29*IF(E29="tower",$C$3,1))</f>
        <v/>
      </c>
    </row>
    <row r="30">
      <c r="A30" t="inlineStr">
        <is>
          <t>Control (once)</t>
        </is>
      </c>
      <c r="B30" t="inlineStr">
        <is>
          <t>Carrier PCB</t>
        </is>
      </c>
      <c r="C30" t="inlineStr">
        <is>
          <t>hardware/carrier, made at the makerspace</t>
        </is>
      </c>
      <c r="D30" t="n">
        <v>1</v>
      </c>
      <c r="E30" t="inlineStr">
        <is>
          <t>system</t>
        </is>
      </c>
      <c r="F30" s="5" t="n"/>
      <c r="G30" s="8" t="inlineStr">
        <is>
          <t>to check</t>
        </is>
      </c>
      <c r="H30" t="inlineStr"/>
      <c r="I30" t="inlineStr"/>
      <c r="J30" s="5">
        <f>IF(F30="","",D30*F30*IF(E30="tower",$C$3,1))</f>
        <v/>
      </c>
    </row>
    <row r="31">
      <c r="A31" t="inlineStr">
        <is>
          <t>Control (once)</t>
        </is>
      </c>
      <c r="B31" t="inlineStr">
        <is>
          <t>Female header 1 x 24, 2.54 mm, 8.5 mm tall</t>
        </is>
      </c>
      <c r="C31" t="inlineStr">
        <is>
          <t>Teensy socket</t>
        </is>
      </c>
      <c r="D31" t="n">
        <v>2</v>
      </c>
      <c r="E31" t="inlineStr">
        <is>
          <t>system</t>
        </is>
      </c>
      <c r="F31" s="5" t="n"/>
      <c r="G31" s="8" t="inlineStr">
        <is>
          <t>to check</t>
        </is>
      </c>
      <c r="H31" t="inlineStr"/>
      <c r="I31" t="inlineStr"/>
      <c r="J31" s="5">
        <f>IF(F31="","",D31*F31*IF(E31="tower",$C$3,1))</f>
        <v/>
      </c>
    </row>
    <row r="32">
      <c r="A32" t="inlineStr">
        <is>
          <t>Control (once)</t>
        </is>
      </c>
      <c r="B32" t="inlineStr">
        <is>
          <t>Female header 1 x 6, 2.54 mm</t>
        </is>
      </c>
      <c r="C32" t="inlineStr">
        <is>
          <t>DAC socket</t>
        </is>
      </c>
      <c r="D32" t="n">
        <v>2</v>
      </c>
      <c r="E32" t="inlineStr">
        <is>
          <t>system</t>
        </is>
      </c>
      <c r="F32" s="5" t="n"/>
      <c r="G32" s="8" t="inlineStr">
        <is>
          <t>to check</t>
        </is>
      </c>
      <c r="H32" t="inlineStr"/>
      <c r="I32" t="inlineStr"/>
      <c r="J32" s="5">
        <f>IF(F32="","",D32*F32*IF(E32="tower",$C$3,1))</f>
        <v/>
      </c>
    </row>
    <row r="33">
      <c r="A33" t="inlineStr">
        <is>
          <t>Control (once)</t>
        </is>
      </c>
      <c r="B33" t="inlineStr">
        <is>
          <t>Board header, pluggable, 5-way, threaded flange</t>
        </is>
      </c>
      <c r="C33" t="inlineStr">
        <is>
          <t>Phoenix Contact MSTB 2,5/5-GF-5,08, 1776537</t>
        </is>
      </c>
      <c r="D33" t="n">
        <v>4</v>
      </c>
      <c r="E33" t="inlineStr">
        <is>
          <t>system</t>
        </is>
      </c>
      <c r="F33" s="5" t="n"/>
      <c r="G33" s="8" t="inlineStr">
        <is>
          <t>to check</t>
        </is>
      </c>
      <c r="H33" t="inlineStr">
        <is>
          <t>order no. from the KiCad footprint description; search 1776537 at phoenixcontact.com</t>
        </is>
      </c>
      <c r="I33" t="inlineStr"/>
      <c r="J33" s="5">
        <f>IF(F33="","",D33*F33*IF(E33="tower",$C$3,1))</f>
        <v/>
      </c>
    </row>
    <row r="34">
      <c r="A34" t="inlineStr">
        <is>
          <t>Control (once)</t>
        </is>
      </c>
      <c r="B34" t="inlineStr">
        <is>
          <t>Cable plug, 5-way, screw flange</t>
        </is>
      </c>
      <c r="C34" t="inlineStr">
        <is>
          <t>Phoenix Contact MSTB 2,5/5-STF-5,08, 1778014</t>
        </is>
      </c>
      <c r="D34" t="n">
        <v>4</v>
      </c>
      <c r="E34" t="inlineStr">
        <is>
          <t>system</t>
        </is>
      </c>
      <c r="F34" s="5" t="n"/>
      <c r="G34" s="8" t="inlineStr">
        <is>
          <t>to check</t>
        </is>
      </c>
      <c r="H34" t="inlineStr"/>
      <c r="I34" s="7" t="inlineStr">
        <is>
          <t>https://www.phoenixcontact.com/en-us/products/pcb-plug-mstb-25-5-stf-508-1778014</t>
        </is>
      </c>
      <c r="J34" s="5">
        <f>IF(F34="","",D34*F34*IF(E34="tower",$C$3,1))</f>
        <v/>
      </c>
    </row>
    <row r="35">
      <c r="A35" t="inlineStr">
        <is>
          <t>Control (once)</t>
        </is>
      </c>
      <c r="B35" t="inlineStr">
        <is>
          <t>Coding profile (optional, keys each socket)</t>
        </is>
      </c>
      <c r="C35" t="inlineStr">
        <is>
          <t>Phoenix Contact CP-MSTB, 1734634 (pack of 100)</t>
        </is>
      </c>
      <c r="D35" t="n">
        <v>1</v>
      </c>
      <c r="E35" t="inlineStr">
        <is>
          <t>system</t>
        </is>
      </c>
      <c r="F35" s="5" t="n"/>
      <c r="G35" s="8" t="inlineStr">
        <is>
          <t>to check</t>
        </is>
      </c>
      <c r="H35" t="inlineStr"/>
      <c r="I35" s="7" t="inlineStr">
        <is>
          <t>https://www.phoenixcontact.com/en-us/products/coding-element-cp-mstb-1734634</t>
        </is>
      </c>
      <c r="J35" s="5">
        <f>IF(F35="","",D35*F35*IF(E35="tower",$C$3,1))</f>
        <v/>
      </c>
    </row>
    <row r="36">
      <c r="A36" t="inlineStr">
        <is>
          <t>Control (once)</t>
        </is>
      </c>
      <c r="B36" t="inlineStr">
        <is>
          <t>Resistor 1 kOhm, 0.25 W, 1 %, axial</t>
        </is>
      </c>
      <c r="C36" t="inlineStr">
        <is>
          <t>R1-R4</t>
        </is>
      </c>
      <c r="D36" t="n">
        <v>4</v>
      </c>
      <c r="E36" t="inlineStr">
        <is>
          <t>system</t>
        </is>
      </c>
      <c r="F36" s="5" t="n"/>
      <c r="G36" s="8" t="inlineStr">
        <is>
          <t>to check</t>
        </is>
      </c>
      <c r="H36" t="inlineStr"/>
      <c r="I36" t="inlineStr"/>
      <c r="J36" s="5">
        <f>IF(F36="","",D36*F36*IF(E36="tower",$C$3,1))</f>
        <v/>
      </c>
    </row>
    <row r="37">
      <c r="A37" t="inlineStr">
        <is>
          <t>Control (once)</t>
        </is>
      </c>
      <c r="B37" t="inlineStr">
        <is>
          <t>Resistor 1 MOhm, 0.25 W, 1 %, axial</t>
        </is>
      </c>
      <c r="C37" t="inlineStr">
        <is>
          <t>R5-R8</t>
        </is>
      </c>
      <c r="D37" t="n">
        <v>4</v>
      </c>
      <c r="E37" t="inlineStr">
        <is>
          <t>system</t>
        </is>
      </c>
      <c r="F37" s="5" t="n"/>
      <c r="G37" s="8" t="inlineStr">
        <is>
          <t>to check</t>
        </is>
      </c>
      <c r="H37" t="inlineStr"/>
      <c r="I37" t="inlineStr"/>
      <c r="J37" s="5">
        <f>IF(F37="","",D37*F37*IF(E37="tower",$C$3,1))</f>
        <v/>
      </c>
    </row>
    <row r="38">
      <c r="A38" t="inlineStr">
        <is>
          <t>Control (once)</t>
        </is>
      </c>
      <c r="B38" t="inlineStr">
        <is>
          <t>Schottky diode</t>
        </is>
      </c>
      <c r="C38" t="inlineStr">
        <is>
          <t>BAT85, DO-35 (D1-D4)</t>
        </is>
      </c>
      <c r="D38" t="n">
        <v>4</v>
      </c>
      <c r="E38" t="inlineStr">
        <is>
          <t>system</t>
        </is>
      </c>
      <c r="F38" s="5" t="n"/>
      <c r="G38" s="8" t="inlineStr">
        <is>
          <t>to check</t>
        </is>
      </c>
      <c r="H38" t="inlineStr"/>
      <c r="I38" t="inlineStr"/>
      <c r="J38" s="5">
        <f>IF(F38="","",D38*F38*IF(E38="tower",$C$3,1))</f>
        <v/>
      </c>
    </row>
    <row r="39">
      <c r="A39" t="inlineStr">
        <is>
          <t>Control (once)</t>
        </is>
      </c>
      <c r="B39" t="inlineStr">
        <is>
          <t>USB cable for the Teensy</t>
        </is>
      </c>
      <c r="C39" t="inlineStr">
        <is>
          <t>micro-USB</t>
        </is>
      </c>
      <c r="D39" t="n">
        <v>1</v>
      </c>
      <c r="E39" t="inlineStr">
        <is>
          <t>system</t>
        </is>
      </c>
      <c r="F39" s="5" t="n"/>
      <c r="G39" s="8" t="inlineStr">
        <is>
          <t>to check</t>
        </is>
      </c>
      <c r="H39" t="inlineStr"/>
      <c r="I39" t="inlineStr"/>
      <c r="J39" s="5">
        <f>IF(F39="","",D39*F39*IF(E39="tower",$C$3,1))</f>
        <v/>
      </c>
    </row>
    <row r="40">
      <c r="A40" t="inlineStr">
        <is>
          <t>Safety &amp; harness (once)</t>
        </is>
      </c>
      <c r="B40" t="inlineStr">
        <is>
          <t>E-stop button + 1 NO contact block per 48 V supply + 24 AWG 2-wire cable</t>
        </is>
      </c>
      <c r="C40" t="inlineStr">
        <is>
          <t>Stanford guide p. 13</t>
        </is>
      </c>
      <c r="D40" t="n">
        <v>1</v>
      </c>
      <c r="E40" t="inlineStr">
        <is>
          <t>system</t>
        </is>
      </c>
      <c r="F40" s="5" t="n"/>
      <c r="G40" s="8" t="inlineStr">
        <is>
          <t>to check</t>
        </is>
      </c>
      <c r="H40" t="inlineStr"/>
      <c r="I40" t="inlineStr"/>
      <c r="J40" s="5">
        <f>IF(F40="","",D40*F40*IF(E40="tower",$C$3,1))</f>
        <v/>
      </c>
    </row>
    <row r="41">
      <c r="A41" t="inlineStr">
        <is>
          <t>Safety &amp; harness (once)</t>
        </is>
      </c>
      <c r="B41" t="inlineStr">
        <is>
          <t>Hip harness</t>
        </is>
      </c>
      <c r="C41" t="inlineStr">
        <is>
          <t>Black Diamond climbing harness (Stanford)</t>
        </is>
      </c>
      <c r="D41" t="n">
        <v>1</v>
      </c>
      <c r="E41" t="inlineStr">
        <is>
          <t>system</t>
        </is>
      </c>
      <c r="F41" s="5" t="n"/>
      <c r="G41" s="8" t="inlineStr">
        <is>
          <t>to check</t>
        </is>
      </c>
      <c r="H41" t="inlineStr"/>
      <c r="I41" t="inlineStr"/>
      <c r="J41" s="5">
        <f>IF(F41="","",D41*F41*IF(E41="tower",$C$3,1))</f>
        <v/>
      </c>
    </row>
    <row r="42">
      <c r="A42" t="inlineStr">
        <is>
          <t>Safety &amp; harness (once)</t>
        </is>
      </c>
      <c r="B42" t="inlineStr">
        <is>
          <t>Breakaway line</t>
        </is>
      </c>
      <c r="C42" t="inlineStr">
        <is>
          <t>Berkley FireLine (Stanford guide p. 18)</t>
        </is>
      </c>
      <c r="D42" t="n">
        <v>1</v>
      </c>
      <c r="E42" t="inlineStr">
        <is>
          <t>system</t>
        </is>
      </c>
      <c r="F42" s="5" t="n"/>
      <c r="G42" s="8" t="inlineStr">
        <is>
          <t>to check</t>
        </is>
      </c>
      <c r="H42" t="inlineStr"/>
      <c r="I42" t="inlineStr"/>
      <c r="J42" s="5">
        <f>IF(F42="","",D42*F42*IF(E42="tower",$C$3,1))</f>
        <v/>
      </c>
    </row>
    <row r="43">
      <c r="A43" t="inlineStr">
        <is>
          <t>Safety &amp; harness (once)</t>
        </is>
      </c>
      <c r="B43" t="inlineStr">
        <is>
          <t>PLA filament</t>
        </is>
      </c>
      <c r="C43" t="inlineStr">
        <is>
          <t>1 reel, for all printed parts</t>
        </is>
      </c>
      <c r="D43" t="n">
        <v>1</v>
      </c>
      <c r="E43" t="inlineStr">
        <is>
          <t>system</t>
        </is>
      </c>
      <c r="F43" s="5" t="n"/>
      <c r="G43" s="8" t="inlineStr">
        <is>
          <t>to check</t>
        </is>
      </c>
      <c r="H43" t="inlineStr"/>
      <c r="I43" t="inlineStr"/>
      <c r="J43" s="5">
        <f>IF(F43="","",D43*F43*IF(E43="tower",$C$3,1))</f>
        <v/>
      </c>
    </row>
    <row r="44">
      <c r="A44" t="inlineStr">
        <is>
          <t>Safety &amp; harness (once)</t>
        </is>
      </c>
      <c r="B44" t="inlineStr">
        <is>
          <t>Calibration weights</t>
        </is>
      </c>
      <c r="C44" t="inlineStr">
        <is>
          <t>6, 8, 12 kg (thesis) - the lab may have them</t>
        </is>
      </c>
      <c r="D44" t="n">
        <v>1</v>
      </c>
      <c r="E44" t="inlineStr">
        <is>
          <t>system</t>
        </is>
      </c>
      <c r="F44" s="5" t="n"/>
      <c r="G44" s="8" t="inlineStr">
        <is>
          <t>to check</t>
        </is>
      </c>
      <c r="H44" t="inlineStr"/>
      <c r="I44" t="inlineStr"/>
      <c r="J44" s="5">
        <f>IF(F44="","",D44*F44*IF(E44="tower",$C$3,1))</f>
        <v/>
      </c>
    </row>
    <row r="46">
      <c r="I46" s="2" t="inlineStr">
        <is>
          <t>TOTAL (priced items)</t>
        </is>
      </c>
      <c r="J46" s="10">
        <f>SUM(J6:J44)</f>
        <v/>
      </c>
    </row>
    <row r="47">
      <c r="I47" t="inlineStr">
        <is>
          <t>Items still without a price</t>
        </is>
      </c>
      <c r="J47">
        <f>COUNTIF(G6:G44,"to check")</f>
        <v/>
      </c>
    </row>
    <row r="48">
      <c r="I48" t="inlineStr">
        <is>
          <t>Note: mixes prices incl. and excl. VAT (see column H)</t>
        </is>
      </c>
    </row>
  </sheetData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12" r:id="rId3"/>
    <hyperlink xmlns:r="http://schemas.openxmlformats.org/officeDocument/2006/relationships" ref="I13" r:id="rId4"/>
    <hyperlink xmlns:r="http://schemas.openxmlformats.org/officeDocument/2006/relationships" ref="I17" r:id="rId5"/>
    <hyperlink xmlns:r="http://schemas.openxmlformats.org/officeDocument/2006/relationships" ref="I18" r:id="rId6"/>
    <hyperlink xmlns:r="http://schemas.openxmlformats.org/officeDocument/2006/relationships" ref="I19" r:id="rId7"/>
    <hyperlink xmlns:r="http://schemas.openxmlformats.org/officeDocument/2006/relationships" ref="I22" r:id="rId8"/>
    <hyperlink xmlns:r="http://schemas.openxmlformats.org/officeDocument/2006/relationships" ref="I23" r:id="rId9"/>
    <hyperlink xmlns:r="http://schemas.openxmlformats.org/officeDocument/2006/relationships" ref="I24" r:id="rId10"/>
    <hyperlink xmlns:r="http://schemas.openxmlformats.org/officeDocument/2006/relationships" ref="I25" r:id="rId11"/>
    <hyperlink xmlns:r="http://schemas.openxmlformats.org/officeDocument/2006/relationships" ref="I27" r:id="rId12"/>
    <hyperlink xmlns:r="http://schemas.openxmlformats.org/officeDocument/2006/relationships" ref="I29" r:id="rId13"/>
    <hyperlink xmlns:r="http://schemas.openxmlformats.org/officeDocument/2006/relationships" ref="I34" r:id="rId14"/>
    <hyperlink xmlns:r="http://schemas.openxmlformats.org/officeDocument/2006/relationships" ref="I35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Scope: one Bump'em system; 'tower' lines are per module (set the number on the Parts sheet), 'system' lines are bought once.</t>
        </is>
      </c>
    </row>
    <row r="2">
      <c r="A2" t="inlineStr">
        <is>
          <t>Not included: motor (maxon EC 90 flat 500267, Hall sensors built in), optional encoder (Renishaw RM22), aluminium frame (80x80 profiles), 48 V supplies (Mean Well RSP-2000-48) and 24 V supplies (Mean Well RS-15-24): already in stock.</t>
        </is>
      </c>
    </row>
    <row r="3">
      <c r="A3" t="inlineStr">
        <is>
          <t>Sources: Stanford Bump'em build guide (docs/reference/stanford-bumpem-build-guide.pdf, assembly pages 11-17); BumpemServer docs/knowledge/hardware.md, wiring.md; hardware/carrier/README.md.</t>
        </is>
      </c>
    </row>
    <row r="4">
      <c r="A4" t="inlineStr">
        <is>
          <t>Stanford's full BOM spreadsheet (part numbers, prices, links for the small mechanical parts): https://biomechatronics.stanford.edu/bump-em</t>
        </is>
      </c>
    </row>
    <row r="5">
      <c r="A5" t="inlineStr">
        <is>
          <t>Mains (230 V) connection of each 48 V supply: university electrician only.</t>
        </is>
      </c>
    </row>
    <row r="6">
      <c r="A6" t="inlineStr">
        <is>
          <t>New IAA100 amplifiers: copy a working module's DIP settings, trim zero/span to 0-3.3 V = 0-200 N with known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2026-10-05T13:36:34Z</dcterms:created>
  <dcterms:modified xsi:type="dcterms:W3CDTF">2026-10-05T13:36:34Z</dcterms:modified>
</cp:coreProperties>
</file>